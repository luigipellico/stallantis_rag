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f76316c\Desktop\Open Points\VPA Avenger 2027\"/>
    </mc:Choice>
  </mc:AlternateContent>
  <xr:revisionPtr revIDLastSave="0" documentId="13_ncr:1_{EEE16980-D32F-492B-A3B7-C53925257B8B}" xr6:coauthVersionLast="47" xr6:coauthVersionMax="47" xr10:uidLastSave="{00000000-0000-0000-0000-000000000000}"/>
  <bookViews>
    <workbookView xWindow="-110" yWindow="-110" windowWidth="19420" windowHeight="11500" xr2:uid="{E9D8B4D0-866F-45C1-98A9-167A48AD858C}"/>
  </bookViews>
  <sheets>
    <sheet name="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J19" i="1"/>
  <c r="J18" i="1"/>
  <c r="J17" i="1"/>
  <c r="J20" i="1" s="1"/>
  <c r="H16" i="1"/>
  <c r="J15" i="1"/>
  <c r="J16" i="1" s="1"/>
  <c r="J14" i="1"/>
  <c r="J13" i="1"/>
  <c r="J12" i="1"/>
  <c r="H11" i="1"/>
  <c r="J10" i="1"/>
  <c r="J9" i="1"/>
  <c r="J8" i="1"/>
  <c r="J7" i="1"/>
  <c r="J6" i="1"/>
  <c r="J5" i="1"/>
  <c r="J11" i="1" l="1"/>
</calcChain>
</file>

<file path=xl/sharedStrings.xml><?xml version="1.0" encoding="utf-8"?>
<sst xmlns="http://schemas.openxmlformats.org/spreadsheetml/2006/main" count="57" uniqueCount="27">
  <si>
    <t>Visibility Pack</t>
  </si>
  <si>
    <t>Part Number</t>
  </si>
  <si>
    <t>Descrizione Particolare</t>
  </si>
  <si>
    <t>Famiglia</t>
  </si>
  <si>
    <t>Lettera Sconto</t>
  </si>
  <si>
    <t>PVP IVA escl.</t>
  </si>
  <si>
    <t>% Sconto PNR Suggerito</t>
  </si>
  <si>
    <t>PNR Suggerito  IVA escl.</t>
  </si>
  <si>
    <t>Tappetini all-weather - BEV</t>
  </si>
  <si>
    <t>ZF02</t>
  </si>
  <si>
    <t>H</t>
  </si>
  <si>
    <t>Tappetini all-weather - ICE</t>
  </si>
  <si>
    <t>Tappetini all-weather - MHEV</t>
  </si>
  <si>
    <t>Nuovi adesivi cofano versione FWD</t>
  </si>
  <si>
    <t>ZE21</t>
  </si>
  <si>
    <t>B</t>
  </si>
  <si>
    <t>Tappetino in gomma per cruscotto</t>
  </si>
  <si>
    <t>Tappetini in gomma per area portaoggetti centrale</t>
  </si>
  <si>
    <t>Totale</t>
  </si>
  <si>
    <t>Nuovo adesivo cofano – 4xe</t>
  </si>
  <si>
    <t>4xe 85th Annivesary</t>
  </si>
  <si>
    <t xml:space="preserve">AWD (4xe) </t>
  </si>
  <si>
    <t xml:space="preserve">FWD </t>
  </si>
  <si>
    <t>*installazione esclusa</t>
  </si>
  <si>
    <r>
      <t>71809419</t>
    </r>
    <r>
      <rPr>
        <b/>
        <sz val="9"/>
        <color theme="1"/>
        <rFont val="Encode Sans"/>
      </rPr>
      <t>*</t>
    </r>
  </si>
  <si>
    <r>
      <t>71809420</t>
    </r>
    <r>
      <rPr>
        <b/>
        <sz val="9"/>
        <color theme="1"/>
        <rFont val="Encode Sans"/>
      </rPr>
      <t>*</t>
    </r>
  </si>
  <si>
    <t xml:space="preserve">Nuova Jeep® Avenger MY27 - Visibility Pack Showroom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</si>
</sst>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theme="0"/>
      <name val="Encode Sans"/>
    </font>
    <font>
      <b/>
      <sz val="9"/>
      <color theme="1"/>
      <name val="Encode Sans"/>
    </font>
    <font>
      <sz val="9"/>
      <color theme="1"/>
      <name val="Encode Sans"/>
    </font>
    <font>
      <b/>
      <sz val="20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Encode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378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8" fontId="5" fillId="0" borderId="8" xfId="0" applyNumberFormat="1" applyFont="1" applyBorder="1" applyAlignment="1">
      <alignment horizontal="center"/>
    </xf>
    <xf numFmtId="9" fontId="5" fillId="0" borderId="8" xfId="1" applyFont="1" applyBorder="1" applyAlignment="1">
      <alignment horizontal="center"/>
    </xf>
    <xf numFmtId="8" fontId="5" fillId="0" borderId="9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2" xfId="0" quotePrefix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8" fontId="5" fillId="0" borderId="12" xfId="0" applyNumberFormat="1" applyFont="1" applyBorder="1" applyAlignment="1">
      <alignment horizontal="center"/>
    </xf>
    <xf numFmtId="9" fontId="5" fillId="0" borderId="12" xfId="1" applyFont="1" applyBorder="1" applyAlignment="1">
      <alignment horizontal="center"/>
    </xf>
    <xf numFmtId="8" fontId="5" fillId="0" borderId="13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8" fontId="4" fillId="0" borderId="18" xfId="0" applyNumberFormat="1" applyFont="1" applyBorder="1" applyAlignment="1">
      <alignment horizontal="center"/>
    </xf>
    <xf numFmtId="8" fontId="4" fillId="0" borderId="19" xfId="0" applyNumberFormat="1" applyFont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1" xfId="0" quotePrefix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8" fontId="5" fillId="0" borderId="21" xfId="0" applyNumberFormat="1" applyFont="1" applyBorder="1" applyAlignment="1">
      <alignment horizontal="center"/>
    </xf>
    <xf numFmtId="9" fontId="5" fillId="0" borderId="21" xfId="1" applyFont="1" applyBorder="1" applyAlignment="1">
      <alignment horizontal="center"/>
    </xf>
    <xf numFmtId="8" fontId="5" fillId="0" borderId="22" xfId="0" applyNumberFormat="1" applyFont="1" applyBorder="1" applyAlignment="1">
      <alignment horizontal="center"/>
    </xf>
    <xf numFmtId="0" fontId="8" fillId="0" borderId="0" xfId="0" applyFont="1"/>
    <xf numFmtId="0" fontId="4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8F2-9E74-4BF9-A732-4EC0C64E590B}">
  <dimension ref="C3:J22"/>
  <sheetViews>
    <sheetView showGridLines="0" tabSelected="1" workbookViewId="0">
      <selection activeCell="M7" sqref="M7"/>
    </sheetView>
  </sheetViews>
  <sheetFormatPr defaultRowHeight="14.5" x14ac:dyDescent="0.35"/>
  <cols>
    <col min="3" max="3" width="10.36328125" customWidth="1"/>
    <col min="4" max="4" width="8.81640625" bestFit="1" customWidth="1"/>
    <col min="5" max="5" width="37.1796875" bestFit="1" customWidth="1"/>
  </cols>
  <sheetData>
    <row r="3" spans="3:10" ht="26.5" thickBot="1" x14ac:dyDescent="0.4">
      <c r="C3" s="1"/>
      <c r="D3" s="38" t="s">
        <v>26</v>
      </c>
      <c r="E3" s="39"/>
      <c r="F3" s="39"/>
      <c r="G3" s="39"/>
      <c r="H3" s="39"/>
      <c r="I3" s="39"/>
      <c r="J3" s="39"/>
    </row>
    <row r="4" spans="3:10" ht="57" x14ac:dyDescent="0.35">
      <c r="C4" s="2" t="s">
        <v>0</v>
      </c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5" t="s">
        <v>7</v>
      </c>
    </row>
    <row r="5" spans="3:10" ht="19" x14ac:dyDescent="0.65">
      <c r="C5" s="40" t="s">
        <v>22</v>
      </c>
      <c r="D5" s="6">
        <v>50291006</v>
      </c>
      <c r="E5" s="7" t="s">
        <v>8</v>
      </c>
      <c r="F5" s="8" t="s">
        <v>9</v>
      </c>
      <c r="G5" s="9" t="s">
        <v>10</v>
      </c>
      <c r="H5" s="10">
        <v>72.95</v>
      </c>
      <c r="I5" s="11">
        <v>0.26</v>
      </c>
      <c r="J5" s="12">
        <f t="shared" ref="J5:J10" si="0">+ROUND(H5*(1-I5),2)</f>
        <v>53.98</v>
      </c>
    </row>
    <row r="6" spans="3:10" ht="19" x14ac:dyDescent="0.65">
      <c r="C6" s="33"/>
      <c r="D6" s="6">
        <v>50291004</v>
      </c>
      <c r="E6" s="7" t="s">
        <v>11</v>
      </c>
      <c r="F6" s="8" t="s">
        <v>9</v>
      </c>
      <c r="G6" s="9" t="s">
        <v>10</v>
      </c>
      <c r="H6" s="10">
        <v>72.95</v>
      </c>
      <c r="I6" s="11">
        <v>0.26</v>
      </c>
      <c r="J6" s="12">
        <f t="shared" si="0"/>
        <v>53.98</v>
      </c>
    </row>
    <row r="7" spans="3:10" ht="19" x14ac:dyDescent="0.65">
      <c r="C7" s="33"/>
      <c r="D7" s="13">
        <v>50291212</v>
      </c>
      <c r="E7" s="7" t="s">
        <v>12</v>
      </c>
      <c r="F7" s="8" t="s">
        <v>9</v>
      </c>
      <c r="G7" s="9" t="s">
        <v>10</v>
      </c>
      <c r="H7" s="10">
        <v>72.95</v>
      </c>
      <c r="I7" s="11">
        <v>0.26</v>
      </c>
      <c r="J7" s="12">
        <f t="shared" si="0"/>
        <v>53.98</v>
      </c>
    </row>
    <row r="8" spans="3:10" ht="19" x14ac:dyDescent="0.65">
      <c r="C8" s="33"/>
      <c r="D8" s="13" t="s">
        <v>24</v>
      </c>
      <c r="E8" s="7" t="s">
        <v>13</v>
      </c>
      <c r="F8" s="8" t="s">
        <v>14</v>
      </c>
      <c r="G8" s="9" t="s">
        <v>15</v>
      </c>
      <c r="H8" s="10">
        <v>127.05</v>
      </c>
      <c r="I8" s="11">
        <v>0.16</v>
      </c>
      <c r="J8" s="12">
        <f t="shared" si="0"/>
        <v>106.72</v>
      </c>
    </row>
    <row r="9" spans="3:10" ht="19" x14ac:dyDescent="0.65">
      <c r="C9" s="33"/>
      <c r="D9" s="13">
        <v>50290867</v>
      </c>
      <c r="E9" s="7" t="s">
        <v>16</v>
      </c>
      <c r="F9" s="8" t="s">
        <v>9</v>
      </c>
      <c r="G9" s="9" t="s">
        <v>10</v>
      </c>
      <c r="H9" s="10">
        <v>27.16</v>
      </c>
      <c r="I9" s="11">
        <v>0.26</v>
      </c>
      <c r="J9" s="12">
        <f t="shared" si="0"/>
        <v>20.100000000000001</v>
      </c>
    </row>
    <row r="10" spans="3:10" ht="19.5" thickBot="1" x14ac:dyDescent="0.7">
      <c r="C10" s="33"/>
      <c r="D10" s="14">
        <v>50290870</v>
      </c>
      <c r="E10" s="15" t="s">
        <v>17</v>
      </c>
      <c r="F10" s="16" t="s">
        <v>9</v>
      </c>
      <c r="G10" s="17" t="s">
        <v>10</v>
      </c>
      <c r="H10" s="18">
        <v>7.75</v>
      </c>
      <c r="I10" s="19">
        <v>0.26</v>
      </c>
      <c r="J10" s="20">
        <f t="shared" si="0"/>
        <v>5.74</v>
      </c>
    </row>
    <row r="11" spans="3:10" ht="19.5" thickBot="1" x14ac:dyDescent="0.7">
      <c r="C11" s="34"/>
      <c r="D11" s="35" t="s">
        <v>18</v>
      </c>
      <c r="E11" s="36"/>
      <c r="F11" s="36"/>
      <c r="G11" s="37"/>
      <c r="H11" s="22">
        <f>SUBTOTAL(9,H5:H10)</f>
        <v>380.81000000000006</v>
      </c>
      <c r="I11" s="21"/>
      <c r="J11" s="23">
        <f>SUBTOTAL(9,J5:J10)</f>
        <v>294.5</v>
      </c>
    </row>
    <row r="12" spans="3:10" ht="19" customHeight="1" x14ac:dyDescent="0.65">
      <c r="C12" s="32" t="s">
        <v>21</v>
      </c>
      <c r="D12" s="24">
        <v>50291212</v>
      </c>
      <c r="E12" s="25" t="s">
        <v>12</v>
      </c>
      <c r="F12" s="26" t="s">
        <v>9</v>
      </c>
      <c r="G12" s="27" t="s">
        <v>10</v>
      </c>
      <c r="H12" s="28">
        <v>72.95</v>
      </c>
      <c r="I12" s="29">
        <v>0.26</v>
      </c>
      <c r="J12" s="30">
        <f>+ROUND(H12*(1-I12),2)</f>
        <v>53.98</v>
      </c>
    </row>
    <row r="13" spans="3:10" ht="19" x14ac:dyDescent="0.65">
      <c r="C13" s="33"/>
      <c r="D13" s="13" t="s">
        <v>25</v>
      </c>
      <c r="E13" s="7" t="s">
        <v>19</v>
      </c>
      <c r="F13" s="8" t="s">
        <v>14</v>
      </c>
      <c r="G13" s="9" t="s">
        <v>15</v>
      </c>
      <c r="H13" s="10">
        <v>159.84</v>
      </c>
      <c r="I13" s="11">
        <v>0.16</v>
      </c>
      <c r="J13" s="12">
        <f>+ROUND(H13*(1-I13),2)</f>
        <v>134.27000000000001</v>
      </c>
    </row>
    <row r="14" spans="3:10" ht="19" x14ac:dyDescent="0.65">
      <c r="C14" s="33"/>
      <c r="D14" s="13">
        <v>50290867</v>
      </c>
      <c r="E14" s="7" t="s">
        <v>16</v>
      </c>
      <c r="F14" s="8" t="s">
        <v>9</v>
      </c>
      <c r="G14" s="9" t="s">
        <v>10</v>
      </c>
      <c r="H14" s="10">
        <v>27.16</v>
      </c>
      <c r="I14" s="11">
        <v>0.26</v>
      </c>
      <c r="J14" s="12">
        <f>+ROUND(H14*(1-I14),2)</f>
        <v>20.100000000000001</v>
      </c>
    </row>
    <row r="15" spans="3:10" ht="19.5" thickBot="1" x14ac:dyDescent="0.7">
      <c r="C15" s="33"/>
      <c r="D15" s="14">
        <v>50290870</v>
      </c>
      <c r="E15" s="15" t="s">
        <v>17</v>
      </c>
      <c r="F15" s="16" t="s">
        <v>9</v>
      </c>
      <c r="G15" s="17" t="s">
        <v>10</v>
      </c>
      <c r="H15" s="18">
        <v>7.75</v>
      </c>
      <c r="I15" s="19">
        <v>0.26</v>
      </c>
      <c r="J15" s="20">
        <f>+ROUND(H15*(1-I15),2)</f>
        <v>5.74</v>
      </c>
    </row>
    <row r="16" spans="3:10" ht="19.5" thickBot="1" x14ac:dyDescent="0.7">
      <c r="C16" s="34"/>
      <c r="D16" s="35" t="s">
        <v>18</v>
      </c>
      <c r="E16" s="36"/>
      <c r="F16" s="36"/>
      <c r="G16" s="37"/>
      <c r="H16" s="22">
        <f>SUBTOTAL(9,H12:H15)</f>
        <v>267.70000000000005</v>
      </c>
      <c r="I16" s="21"/>
      <c r="J16" s="23">
        <f>SUBTOTAL(9,J12:J15)</f>
        <v>214.09</v>
      </c>
    </row>
    <row r="17" spans="3:10" ht="19" customHeight="1" x14ac:dyDescent="0.65">
      <c r="C17" s="32" t="s">
        <v>20</v>
      </c>
      <c r="D17" s="24">
        <v>50291212</v>
      </c>
      <c r="E17" s="25" t="s">
        <v>12</v>
      </c>
      <c r="F17" s="26" t="s">
        <v>9</v>
      </c>
      <c r="G17" s="27" t="s">
        <v>10</v>
      </c>
      <c r="H17" s="28">
        <v>72.95</v>
      </c>
      <c r="I17" s="29">
        <v>0.26</v>
      </c>
      <c r="J17" s="30">
        <f>+ROUND(H17*(1-I17),2)</f>
        <v>53.98</v>
      </c>
    </row>
    <row r="18" spans="3:10" ht="19" x14ac:dyDescent="0.65">
      <c r="C18" s="33"/>
      <c r="D18" s="13">
        <v>50290867</v>
      </c>
      <c r="E18" s="7" t="s">
        <v>16</v>
      </c>
      <c r="F18" s="8" t="s">
        <v>9</v>
      </c>
      <c r="G18" s="9" t="s">
        <v>10</v>
      </c>
      <c r="H18" s="10">
        <v>27.16</v>
      </c>
      <c r="I18" s="11">
        <v>0.26</v>
      </c>
      <c r="J18" s="12">
        <f>+ROUND(H18*(1-I18),2)</f>
        <v>20.100000000000001</v>
      </c>
    </row>
    <row r="19" spans="3:10" ht="19.5" thickBot="1" x14ac:dyDescent="0.7">
      <c r="C19" s="33"/>
      <c r="D19" s="14">
        <v>50290870</v>
      </c>
      <c r="E19" s="15" t="s">
        <v>17</v>
      </c>
      <c r="F19" s="16" t="s">
        <v>9</v>
      </c>
      <c r="G19" s="17" t="s">
        <v>10</v>
      </c>
      <c r="H19" s="18">
        <v>7.75</v>
      </c>
      <c r="I19" s="19">
        <v>0.26</v>
      </c>
      <c r="J19" s="20">
        <f>+ROUND(H19*(1-I19),2)</f>
        <v>5.74</v>
      </c>
    </row>
    <row r="20" spans="3:10" ht="19.5" thickBot="1" x14ac:dyDescent="0.7">
      <c r="C20" s="34"/>
      <c r="D20" s="35" t="s">
        <v>18</v>
      </c>
      <c r="E20" s="36"/>
      <c r="F20" s="36"/>
      <c r="G20" s="37"/>
      <c r="H20" s="22">
        <f>SUBTOTAL(9,H17:H19)</f>
        <v>107.86</v>
      </c>
      <c r="I20" s="21"/>
      <c r="J20" s="23">
        <f>SUBTOTAL(9,J17:J19)</f>
        <v>79.819999999999993</v>
      </c>
    </row>
    <row r="22" spans="3:10" ht="19" x14ac:dyDescent="0.65">
      <c r="C22" s="31" t="s">
        <v>23</v>
      </c>
    </row>
  </sheetData>
  <mergeCells count="7">
    <mergeCell ref="C17:C20"/>
    <mergeCell ref="D20:G20"/>
    <mergeCell ref="D3:J3"/>
    <mergeCell ref="C5:C11"/>
    <mergeCell ref="D11:G11"/>
    <mergeCell ref="C12:C16"/>
    <mergeCell ref="D16:G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ERMINIO PIROZZI</dc:creator>
  <cp:lastModifiedBy>ERMINIO PIROZZI</cp:lastModifiedBy>
  <dcterms:created xsi:type="dcterms:W3CDTF">2026-07-24T10:17:14Z</dcterms:created>
  <dcterms:modified xsi:type="dcterms:W3CDTF">2026-07-27T07:34:59Z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